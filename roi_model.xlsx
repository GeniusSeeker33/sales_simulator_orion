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mpetitive Benchmark" sheetId="2" state="visible" r:id="rId2"/>
    <sheet xmlns:r="http://schemas.openxmlformats.org/officeDocument/2006/relationships" name="Pilot &amp; Pricing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x"/>
    <numFmt numFmtId="166" formatCode="0.0 &quot;months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1C40F"/>
      <sz val="11"/>
    </font>
    <font>
      <name val="Calibri"/>
      <sz val="11"/>
    </font>
    <font>
      <name val="Calibri"/>
      <color rgb="00000000"/>
      <sz val="11"/>
    </font>
    <font>
      <name val="Calibri"/>
      <i val="1"/>
      <color rgb="00555555"/>
      <sz val="10"/>
    </font>
    <font>
      <name val="Calibri"/>
      <b val="1"/>
      <color rgb="0027AE60"/>
      <sz val="11"/>
    </font>
    <font>
      <name val="Calibri"/>
      <b val="1"/>
      <color rgb="0027AE60"/>
      <sz val="12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0F0F0"/>
      </patternFill>
    </fill>
    <fill>
      <patternFill patternType="solid">
        <fgColor rgb="0016213E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D5F5E3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/>
    </xf>
    <xf numFmtId="164" fontId="7" fillId="6" borderId="1" applyAlignment="1" pivotButton="0" quotePrefix="0" xfId="0">
      <alignment horizontal="right" vertical="center"/>
    </xf>
    <xf numFmtId="9" fontId="7" fillId="6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/>
    </xf>
    <xf numFmtId="165" fontId="10" fillId="8" borderId="1" applyAlignment="1" pivotButton="0" quotePrefix="0" xfId="0">
      <alignment horizontal="right"/>
    </xf>
    <xf numFmtId="166" fontId="4" fillId="7" borderId="1" applyAlignment="1" pivotButton="0" quotePrefix="0" xfId="0">
      <alignment horizontal="right"/>
    </xf>
    <xf numFmtId="0" fontId="1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50" customWidth="1" min="4" max="4"/>
  </cols>
  <sheetData>
    <row r="1" ht="36" customHeight="1">
      <c r="A1" s="1" t="inlineStr">
        <is>
          <t>GeniusSeeker Sales Simulator — Orion ROI Model</t>
        </is>
      </c>
    </row>
    <row r="2" ht="22" customHeight="1">
      <c r="A2" s="2" t="inlineStr">
        <is>
          <t>Edit yellow cells to adjust assumptions. All other cells calculate automatically.</t>
        </is>
      </c>
    </row>
    <row r="4">
      <c r="A4" s="3" t="inlineStr">
        <is>
          <t>ASSUMPTION</t>
        </is>
      </c>
      <c r="B4" s="3" t="inlineStr">
        <is>
          <t>CURRENT (Yr 1)</t>
        </is>
      </c>
      <c r="C4" s="3" t="inlineStr">
        <is>
          <t>SCALE (Yr 2)</t>
        </is>
      </c>
      <c r="D4" s="3" t="inlineStr">
        <is>
          <t>NOTES</t>
        </is>
      </c>
      <c r="E4" s="4" t="n"/>
      <c r="F4" s="5" t="n"/>
    </row>
    <row r="5">
      <c r="A5" s="6" t="inlineStr">
        <is>
          <t>── ORION HEADCOUNT &amp; PRICING ──</t>
        </is>
      </c>
      <c r="B5" s="4" t="n"/>
      <c r="C5" s="4" t="n"/>
      <c r="D5" s="4" t="n"/>
      <c r="E5" s="4" t="n"/>
      <c r="F5" s="5" t="n"/>
    </row>
    <row r="6">
      <c r="A6" s="7" t="inlineStr">
        <is>
          <t>Current sales reps</t>
        </is>
      </c>
      <c r="B6" s="8" t="n">
        <v>39</v>
      </c>
      <c r="D6" s="9" t="inlineStr">
        <is>
          <t>Orion today</t>
        </is>
      </c>
      <c r="E6" s="4" t="n"/>
      <c r="F6" s="5" t="n"/>
    </row>
    <row r="7">
      <c r="A7" s="7" t="inlineStr">
        <is>
          <t>Projected reps (2 years)</t>
        </is>
      </c>
      <c r="C7" s="8" t="n">
        <v>80</v>
      </c>
      <c r="D7" s="9" t="inlineStr">
        <is>
          <t>Per leadership plan</t>
        </is>
      </c>
      <c r="E7" s="4" t="n"/>
      <c r="F7" s="5" t="n"/>
    </row>
    <row r="8">
      <c r="A8" s="7" t="inlineStr">
        <is>
          <t>Price per user / month</t>
        </is>
      </c>
      <c r="B8" s="8" t="n">
        <v>30</v>
      </c>
      <c r="C8" s="8" t="n">
        <v>30</v>
      </c>
      <c r="D8" s="9" t="inlineStr">
        <is>
          <t>Target price point</t>
        </is>
      </c>
      <c r="E8" s="4" t="n"/>
      <c r="F8" s="5" t="n"/>
    </row>
    <row r="9">
      <c r="A9" s="7" t="inlineStr">
        <is>
          <t>Annual contract value (current)</t>
        </is>
      </c>
      <c r="B9" s="10">
        <f>B6*B8*12</f>
        <v/>
      </c>
      <c r="D9" s="9">
        <f> seats × $30 × 12</f>
        <v/>
      </c>
      <c r="E9" s="4" t="n"/>
      <c r="F9" s="5" t="n"/>
    </row>
    <row r="10">
      <c r="A10" s="7" t="inlineStr">
        <is>
          <t>Annual contract value (at scale)</t>
        </is>
      </c>
      <c r="C10" s="10">
        <f>C7*C8*12</f>
        <v/>
      </c>
      <c r="D10" s="9">
        <f> 80 × $30 × 12</f>
        <v/>
      </c>
      <c r="E10" s="4" t="n"/>
      <c r="F10" s="5" t="n"/>
    </row>
    <row r="11">
      <c r="A11" s="7" t="inlineStr"/>
    </row>
    <row r="12">
      <c r="A12" s="6" t="inlineStr">
        <is>
          <t>── REP ECONOMICS ──</t>
        </is>
      </c>
      <c r="B12" s="4" t="n"/>
      <c r="C12" s="4" t="n"/>
      <c r="D12" s="4" t="n"/>
      <c r="E12" s="4" t="n"/>
      <c r="F12" s="5" t="n"/>
    </row>
    <row r="13">
      <c r="A13" s="7" t="inlineStr">
        <is>
          <t>Avg annual quota per rep</t>
        </is>
      </c>
      <c r="B13" s="11" t="n">
        <v>2000000</v>
      </c>
      <c r="C13" s="11" t="n">
        <v>2000000</v>
      </c>
      <c r="D13" s="9" t="inlineStr">
        <is>
          <t>Distribution industry typical</t>
        </is>
      </c>
      <c r="E13" s="4" t="n"/>
      <c r="F13" s="5" t="n"/>
    </row>
    <row r="14">
      <c r="A14" s="7" t="inlineStr">
        <is>
          <t>Avg ramp time today (months)</t>
        </is>
      </c>
      <c r="B14" s="8" t="n">
        <v>4.5</v>
      </c>
      <c r="C14" s="8" t="n">
        <v>4.5</v>
      </c>
      <c r="D14" s="9" t="inlineStr">
        <is>
          <t>3–6 month range; use midpoint</t>
        </is>
      </c>
      <c r="E14" s="4" t="n"/>
      <c r="F14" s="5" t="n"/>
    </row>
    <row r="15">
      <c r="A15" s="7" t="inlineStr">
        <is>
          <t>Ramp time with Simulator (months)</t>
        </is>
      </c>
      <c r="B15" s="8" t="n">
        <v>3.5</v>
      </c>
      <c r="C15" s="8" t="n">
        <v>3.5</v>
      </c>
      <c r="D15" s="9" t="inlineStr">
        <is>
          <t>Conservative: 30-day improvement</t>
        </is>
      </c>
      <c r="E15" s="4" t="n"/>
      <c r="F15" s="5" t="n"/>
    </row>
    <row r="16">
      <c r="A16" s="7" t="inlineStr">
        <is>
          <t>Rep productivity during ramp (%)</t>
        </is>
      </c>
      <c r="B16" s="12" t="n">
        <v>0.45</v>
      </c>
      <c r="C16" s="12" t="n">
        <v>0.45</v>
      </c>
      <c r="D16" s="9" t="inlineStr">
        <is>
          <t>Ramp reps at ~45% of quota</t>
        </is>
      </c>
      <c r="E16" s="4" t="n"/>
      <c r="F16" s="5" t="n"/>
    </row>
    <row r="17">
      <c r="A17" s="7" t="inlineStr">
        <is>
          <t>Annual new hires / departures</t>
        </is>
      </c>
      <c r="B17" s="8" t="n">
        <v>8</v>
      </c>
      <c r="C17" s="8" t="n">
        <v>16</v>
      </c>
      <c r="D17" s="9" t="inlineStr">
        <is>
          <t>~20% of 39 → ~40% churn+growth at 80</t>
        </is>
      </c>
      <c r="E17" s="4" t="n"/>
      <c r="F17" s="5" t="n"/>
    </row>
    <row r="18">
      <c r="A18" s="7" t="inlineStr">
        <is>
          <t>Gross margin on rep revenue (%)</t>
        </is>
      </c>
      <c r="B18" s="12" t="n">
        <v>0.3</v>
      </c>
      <c r="C18" s="12" t="n">
        <v>0.3</v>
      </c>
      <c r="D18" s="9" t="inlineStr">
        <is>
          <t>Adjust to Orion's actual margin</t>
        </is>
      </c>
      <c r="E18" s="4" t="n"/>
      <c r="F18" s="5" t="n"/>
    </row>
    <row r="19">
      <c r="A19" s="7" t="inlineStr"/>
    </row>
    <row r="20">
      <c r="A20" s="6" t="inlineStr">
        <is>
          <t>── CALCULATED IMPACT ──</t>
        </is>
      </c>
      <c r="B20" s="4" t="n"/>
      <c r="C20" s="4" t="n"/>
      <c r="D20" s="4" t="n"/>
      <c r="E20" s="4" t="n"/>
      <c r="F20" s="5" t="n"/>
    </row>
    <row r="21">
      <c r="A21" s="7" t="inlineStr">
        <is>
          <t>Revenue recovered per hire (30-day faster ramp)</t>
        </is>
      </c>
      <c r="B21" s="10">
        <f>(B13/12)*(B14-B15)*B16*B18</f>
        <v/>
      </c>
      <c r="C21" s="10">
        <f>(C13/12)*(C14-C15)*C16*C18</f>
        <v/>
      </c>
      <c r="D21" s="9">
        <f> quota/12 × margin × productivity</f>
        <v/>
      </c>
      <c r="E21" s="4" t="n"/>
      <c r="F21" s="5" t="n"/>
    </row>
    <row r="22">
      <c r="A22" s="7" t="inlineStr">
        <is>
          <t>Annual revenue recovered (all new hires)</t>
        </is>
      </c>
      <c r="B22" s="10">
        <f>B21*B17</f>
        <v/>
      </c>
      <c r="C22" s="10">
        <f>C21*C17</f>
        <v/>
      </c>
      <c r="D22" s="9">
        <f> above × annual new hires</f>
        <v/>
      </c>
      <c r="E22" s="4" t="n"/>
      <c r="F22" s="5" t="n"/>
    </row>
    <row r="23">
      <c r="A23" s="7" t="inlineStr">
        <is>
          <t>Annual tool cost</t>
        </is>
      </c>
      <c r="B23" s="10">
        <f>B6*B8*12</f>
        <v/>
      </c>
      <c r="C23" s="10">
        <f>C7*C8*12</f>
        <v/>
      </c>
      <c r="D23" s="9">
        <f> seats × $30 × 12</f>
        <v/>
      </c>
      <c r="E23" s="4" t="n"/>
      <c r="F23" s="5" t="n"/>
    </row>
    <row r="24">
      <c r="A24" s="7" t="inlineStr">
        <is>
          <t>Net annual benefit</t>
        </is>
      </c>
      <c r="B24" s="13">
        <f>B22-B23</f>
        <v/>
      </c>
      <c r="C24" s="13">
        <f>C22-C23</f>
        <v/>
      </c>
      <c r="D24" s="9">
        <f> recovered revenue − tool cost</f>
        <v/>
      </c>
      <c r="E24" s="4" t="n"/>
      <c r="F24" s="5" t="n"/>
    </row>
    <row r="25">
      <c r="A25" s="7" t="inlineStr">
        <is>
          <t>ROI (return on investment)</t>
        </is>
      </c>
      <c r="B25" s="14">
        <f>B22/B23</f>
        <v/>
      </c>
      <c r="C25" s="14">
        <f>C22/C23</f>
        <v/>
      </c>
      <c r="D25" s="9">
        <f> net benefit / tool cost</f>
        <v/>
      </c>
      <c r="E25" s="4" t="n"/>
      <c r="F25" s="5" t="n"/>
    </row>
    <row r="26">
      <c r="A26" s="7" t="inlineStr">
        <is>
          <t>Payback period (months)</t>
        </is>
      </c>
      <c r="B26" s="15">
        <f>B23/(B22/12)</f>
        <v/>
      </c>
      <c r="C26" s="15">
        <f>C23/(C22/12)</f>
        <v/>
      </c>
      <c r="D26" s="9">
        <f> tool cost / (recovered rev / 12)</f>
        <v/>
      </c>
      <c r="E26" s="4" t="n"/>
      <c r="F26" s="5" t="n"/>
    </row>
  </sheetData>
  <mergeCells count="23">
    <mergeCell ref="D13:F13"/>
    <mergeCell ref="D17:F17"/>
    <mergeCell ref="A12:F12"/>
    <mergeCell ref="D7:F7"/>
    <mergeCell ref="D16:F16"/>
    <mergeCell ref="A2:F2"/>
    <mergeCell ref="A5:F5"/>
    <mergeCell ref="D4:F4"/>
    <mergeCell ref="D18:F18"/>
    <mergeCell ref="D9:F9"/>
    <mergeCell ref="A20:F20"/>
    <mergeCell ref="D8:F8"/>
    <mergeCell ref="D25:F25"/>
    <mergeCell ref="D15:F15"/>
    <mergeCell ref="D24:F24"/>
    <mergeCell ref="D14:F14"/>
    <mergeCell ref="D23:F23"/>
    <mergeCell ref="D26:F26"/>
    <mergeCell ref="D10:F10"/>
    <mergeCell ref="A1:F1"/>
    <mergeCell ref="D22:F22"/>
    <mergeCell ref="D21:F21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4" customWidth="1" min="4" max="4"/>
    <col width="16" customWidth="1" min="5" max="5"/>
    <col width="32" customWidth="1" min="6" max="6"/>
    <col width="28" customWidth="1" min="7" max="7"/>
  </cols>
  <sheetData>
    <row r="1" ht="32" customHeight="1">
      <c r="A1" s="16" t="inlineStr">
        <is>
          <t>Sales Enablement &amp; Training Tool Pricing Benchmark</t>
        </is>
      </c>
    </row>
    <row r="3">
      <c r="A3" s="17" t="inlineStr">
        <is>
          <t>Tool</t>
        </is>
      </c>
      <c r="B3" s="17" t="inlineStr">
        <is>
          <t>Category</t>
        </is>
      </c>
      <c r="C3" s="17" t="inlineStr">
        <is>
          <t>Price/User/Mo</t>
        </is>
      </c>
      <c r="D3" s="17" t="inlineStr">
        <is>
          <t>Annual/User</t>
        </is>
      </c>
      <c r="E3" s="17" t="inlineStr">
        <is>
          <t>vs. GeniusSeeker</t>
        </is>
      </c>
      <c r="F3" s="17" t="inlineStr">
        <is>
          <t>Strength</t>
        </is>
      </c>
      <c r="G3" s="17" t="inlineStr">
        <is>
          <t>Weakness</t>
        </is>
      </c>
    </row>
    <row r="4" ht="28" customHeight="1">
      <c r="A4" s="18" t="inlineStr">
        <is>
          <t>GeniusSeeker (Orion)</t>
        </is>
      </c>
      <c r="B4" s="19" t="inlineStr">
        <is>
          <t>AI Sales Simulator</t>
        </is>
      </c>
      <c r="C4" s="20" t="n">
        <v>30</v>
      </c>
      <c r="D4" s="20" t="n">
        <v>360</v>
      </c>
      <c r="E4" s="19" t="inlineStr">
        <is>
          <t>Baseline</t>
        </is>
      </c>
      <c r="F4" s="19" t="inlineStr">
        <is>
          <t>AI sim + manager view + pricing</t>
        </is>
      </c>
      <c r="G4" s="19" t="inlineStr">
        <is>
          <t>Newer product</t>
        </is>
      </c>
    </row>
    <row r="5" ht="28" customHeight="1">
      <c r="A5" s="21" t="inlineStr">
        <is>
          <t>Gong</t>
        </is>
      </c>
      <c r="B5" s="22" t="inlineStr">
        <is>
          <t>Revenue Intelligence</t>
        </is>
      </c>
      <c r="C5" s="23" t="n">
        <v>135</v>
      </c>
      <c r="D5" s="23" t="n">
        <v>1620</v>
      </c>
      <c r="E5" s="22" t="inlineStr">
        <is>
          <t>+$105/user/mo</t>
        </is>
      </c>
      <c r="F5" s="22" t="inlineStr">
        <is>
          <t>Deep call recording &amp; analytics</t>
        </is>
      </c>
      <c r="G5" s="22" t="inlineStr">
        <is>
          <t>Complex, expensive</t>
        </is>
      </c>
    </row>
    <row r="6" ht="28" customHeight="1">
      <c r="A6" s="24" t="inlineStr">
        <is>
          <t>Chorus (ZoomInfo)</t>
        </is>
      </c>
      <c r="B6" s="25" t="inlineStr">
        <is>
          <t>Conversation Intel.</t>
        </is>
      </c>
      <c r="C6" s="26" t="n">
        <v>110</v>
      </c>
      <c r="D6" s="26" t="n">
        <v>1320</v>
      </c>
      <c r="E6" s="25" t="inlineStr">
        <is>
          <t>+$80/user/mo</t>
        </is>
      </c>
      <c r="F6" s="25" t="inlineStr">
        <is>
          <t>Call recording &amp; coaching</t>
        </is>
      </c>
      <c r="G6" s="25" t="inlineStr">
        <is>
          <t>No simulation</t>
        </is>
      </c>
    </row>
    <row r="7" ht="28" customHeight="1">
      <c r="A7" s="21" t="inlineStr">
        <is>
          <t>Mindtickle</t>
        </is>
      </c>
      <c r="B7" s="22" t="inlineStr">
        <is>
          <t>Sales Readiness</t>
        </is>
      </c>
      <c r="C7" s="23" t="n">
        <v>75</v>
      </c>
      <c r="D7" s="23" t="n">
        <v>900</v>
      </c>
      <c r="E7" s="22" t="inlineStr">
        <is>
          <t>+$45/user/mo</t>
        </is>
      </c>
      <c r="F7" s="22" t="inlineStr">
        <is>
          <t>Learning paths, certification</t>
        </is>
      </c>
      <c r="G7" s="22" t="inlineStr">
        <is>
          <t>Rigid training format</t>
        </is>
      </c>
    </row>
    <row r="8" ht="28" customHeight="1">
      <c r="A8" s="24" t="inlineStr">
        <is>
          <t>Lessonly / Seismic</t>
        </is>
      </c>
      <c r="B8" s="25" t="inlineStr">
        <is>
          <t>Sales Enablement</t>
        </is>
      </c>
      <c r="C8" s="26" t="n">
        <v>45</v>
      </c>
      <c r="D8" s="26" t="n">
        <v>540</v>
      </c>
      <c r="E8" s="25" t="inlineStr">
        <is>
          <t>+$15/user/mo</t>
        </is>
      </c>
      <c r="F8" s="25" t="inlineStr">
        <is>
          <t>Content library, quizzes</t>
        </is>
      </c>
      <c r="G8" s="25" t="inlineStr">
        <is>
          <t>No AI simulation</t>
        </is>
      </c>
    </row>
    <row r="9" ht="28" customHeight="1">
      <c r="A9" s="21" t="inlineStr">
        <is>
          <t>Brainshark</t>
        </is>
      </c>
      <c r="B9" s="22" t="inlineStr">
        <is>
          <t>Video Coaching</t>
        </is>
      </c>
      <c r="C9" s="23" t="n">
        <v>60</v>
      </c>
      <c r="D9" s="23" t="n">
        <v>720</v>
      </c>
      <c r="E9" s="22" t="inlineStr">
        <is>
          <t>+$30/user/mo</t>
        </is>
      </c>
      <c r="F9" s="22" t="inlineStr">
        <is>
          <t>Manager video reviews</t>
        </is>
      </c>
      <c r="G9" s="22" t="inlineStr">
        <is>
          <t>No AI customer roleplay</t>
        </is>
      </c>
    </row>
    <row r="10" ht="28" customHeight="1">
      <c r="A10" s="24" t="inlineStr">
        <is>
          <t>Allego</t>
        </is>
      </c>
      <c r="B10" s="25" t="inlineStr">
        <is>
          <t>Sales Readiness</t>
        </is>
      </c>
      <c r="C10" s="26" t="n">
        <v>55</v>
      </c>
      <c r="D10" s="26" t="n">
        <v>660</v>
      </c>
      <c r="E10" s="25" t="inlineStr">
        <is>
          <t>+$25/user/mo</t>
        </is>
      </c>
      <c r="F10" s="25" t="inlineStr">
        <is>
          <t>Video pitch practice</t>
        </is>
      </c>
      <c r="G10" s="25" t="inlineStr">
        <is>
          <t>No live AI customer</t>
        </is>
      </c>
    </row>
    <row r="11" ht="28" customHeight="1">
      <c r="A11" s="21" t="inlineStr">
        <is>
          <t>Second Nature AI</t>
        </is>
      </c>
      <c r="B11" s="22" t="inlineStr">
        <is>
          <t>AI Roleplay</t>
        </is>
      </c>
      <c r="C11" s="23" t="n">
        <v>80</v>
      </c>
      <c r="D11" s="23" t="n">
        <v>960</v>
      </c>
      <c r="E11" s="22" t="inlineStr">
        <is>
          <t>+$50/user/mo</t>
        </is>
      </c>
      <c r="F11" s="22" t="inlineStr">
        <is>
          <t>AI roleplay training</t>
        </is>
      </c>
      <c r="G11" s="22" t="inlineStr">
        <is>
          <t>No account-based context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6" t="inlineStr">
        <is>
          <t>Pilot Structure &amp; Pricing Options — Orion</t>
        </is>
      </c>
    </row>
    <row r="3" ht="30" customHeight="1">
      <c r="A3" s="27" t="inlineStr">
        <is>
          <t>Option</t>
        </is>
      </c>
      <c r="B3" s="3" t="inlineStr">
        <is>
          <t>Structure</t>
        </is>
      </c>
      <c r="C3" s="3" t="inlineStr">
        <is>
          <t>Seats</t>
        </is>
      </c>
      <c r="D3" s="3" t="inlineStr">
        <is>
          <t>Monthly</t>
        </is>
      </c>
      <c r="E3" s="3" t="inlineStr">
        <is>
          <t>Annual</t>
        </is>
      </c>
      <c r="F3" s="3" t="inlineStr">
        <is>
          <t>Key Terms</t>
        </is>
      </c>
    </row>
    <row r="4" ht="30" customHeight="1">
      <c r="A4" s="28" t="inlineStr">
        <is>
          <t>A — Full Rollout</t>
        </is>
      </c>
      <c r="B4" s="29" t="inlineStr">
        <is>
          <t>All reps from day 1</t>
        </is>
      </c>
      <c r="C4" s="29" t="inlineStr">
        <is>
          <t>39</t>
        </is>
      </c>
      <c r="D4" s="29" t="inlineStr">
        <is>
          <t>$1,170</t>
        </is>
      </c>
      <c r="E4" s="29" t="inlineStr">
        <is>
          <t>$14,040</t>
        </is>
      </c>
      <c r="F4" s="29" t="inlineStr">
        <is>
          <t>Standard 12-month contract</t>
        </is>
      </c>
    </row>
    <row r="5" ht="30" customHeight="1">
      <c r="A5" s="30" t="inlineStr">
        <is>
          <t>B — Pilot + Expand</t>
        </is>
      </c>
      <c r="B5" s="31" t="inlineStr">
        <is>
          <t>10 reps, 90-day pilot</t>
        </is>
      </c>
      <c r="C5" s="31" t="inlineStr">
        <is>
          <t>10</t>
        </is>
      </c>
      <c r="D5" s="31" t="inlineStr">
        <is>
          <t>$300</t>
        </is>
      </c>
      <c r="E5" s="31" t="inlineStr">
        <is>
          <t>$3,600</t>
        </is>
      </c>
      <c r="F5" s="31" t="inlineStr">
        <is>
          <t>Auto-expand to 39 if retention ≥ 80%</t>
        </is>
      </c>
    </row>
    <row r="6" ht="30" customHeight="1">
      <c r="A6" s="28" t="inlineStr">
        <is>
          <t>C — One Team Pilot</t>
        </is>
      </c>
      <c r="B6" s="29" t="inlineStr">
        <is>
          <t>1 sales team (8–12 reps)</t>
        </is>
      </c>
      <c r="C6" s="29" t="inlineStr">
        <is>
          <t>12</t>
        </is>
      </c>
      <c r="D6" s="29" t="inlineStr">
        <is>
          <t>$360</t>
        </is>
      </c>
      <c r="E6" s="29" t="inlineStr">
        <is>
          <t>$4,320</t>
        </is>
      </c>
      <c r="F6" s="29" t="inlineStr">
        <is>
          <t>60-day success review; full rollout trigger</t>
        </is>
      </c>
    </row>
    <row r="7" ht="30" customHeight="1">
      <c r="A7" s="30" t="inlineStr">
        <is>
          <t>D — Success-Based</t>
        </is>
      </c>
      <c r="B7" s="31" t="inlineStr">
        <is>
          <t>All 39 reps</t>
        </is>
      </c>
      <c r="C7" s="31" t="inlineStr">
        <is>
          <t>39</t>
        </is>
      </c>
      <c r="D7" s="31" t="inlineStr">
        <is>
          <t>$1,170</t>
        </is>
      </c>
      <c r="E7" s="31" t="inlineStr">
        <is>
          <t>$14,040</t>
        </is>
      </c>
      <c r="F7" s="31" t="inlineStr">
        <is>
          <t>Price-back if ramp time doesn't improve</t>
        </is>
      </c>
    </row>
    <row r="8" ht="30" customHeight="1">
      <c r="A8" s="28" t="inlineStr">
        <is>
          <t>E — Tiered Growth</t>
        </is>
      </c>
      <c r="B8" s="29" t="inlineStr">
        <is>
          <t>Starts 39, grows to 80</t>
        </is>
      </c>
      <c r="C8" s="29" t="inlineStr">
        <is>
          <t>39→80</t>
        </is>
      </c>
      <c r="D8" s="29" t="inlineStr">
        <is>
          <t>$1,170→$2,400</t>
        </is>
      </c>
      <c r="E8" s="29" t="inlineStr">
        <is>
          <t>$14K–$29K</t>
        </is>
      </c>
      <c r="F8" s="29" t="inlineStr">
        <is>
          <t>Locked rate as headcount grows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2026-04-27T16:58:18Z</dcterms:created>
  <dcterms:modified xmlns:dcterms="http://purl.org/dc/terms/" xmlns:xsi="http://www.w3.org/2001/XMLSchema-instance" xsi:type="dcterms:W3CDTF">2026-04-27T16:58:18Z</dcterms:modified>
</cp:coreProperties>
</file>